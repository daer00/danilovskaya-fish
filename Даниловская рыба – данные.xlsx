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ниторинг рынка" sheetId="1" r:id="rId5"/>
    <sheet state="visible" name="Бизнес модель" sheetId="2" r:id="rId6"/>
    <sheet state="visible" name="План по закупкам" sheetId="3" r:id="rId7"/>
    <sheet state="visible" name="Расходники" sheetId="4" r:id="rId8"/>
    <sheet state="visible" name="Расходы" sheetId="5" r:id="rId9"/>
  </sheets>
  <definedNames/>
  <calcPr/>
</workbook>
</file>

<file path=xl/sharedStrings.xml><?xml version="1.0" encoding="utf-8"?>
<sst xmlns="http://schemas.openxmlformats.org/spreadsheetml/2006/main" count="138" uniqueCount="98">
  <si>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</si>
  <si>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</si>
  <si>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</si>
  <si>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</si>
  <si>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</si>
  <si>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</si>
  <si>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</si>
  <si>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</si>
  <si>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>Неделя 9</t>
  </si>
  <si>
    <t>Неделя 10</t>
  </si>
  <si>
    <t>Неделя 11</t>
  </si>
  <si>
    <t>Неделя 12</t>
  </si>
  <si>
    <t>Количество рыб</t>
  </si>
  <si>
    <t>Масса рыб</t>
  </si>
  <si>
    <t>Мониторинг цен на рыбу</t>
  </si>
  <si>
    <t>ФИО</t>
  </si>
  <si>
    <t>Количество видов</t>
  </si>
  <si>
    <t>Кол-во</t>
  </si>
  <si>
    <t>Среднее отклонение</t>
  </si>
  <si>
    <t>Цена</t>
  </si>
  <si>
    <t>Клиенту цена за кг</t>
  </si>
  <si>
    <t>Елена Жигалина</t>
  </si>
  <si>
    <t>Стоимость</t>
  </si>
  <si>
    <t>Учет расходных материалов</t>
  </si>
  <si>
    <t>Категория</t>
  </si>
  <si>
    <t>Марго Богославская</t>
  </si>
  <si>
    <t>Закуп цена за кг</t>
  </si>
  <si>
    <t>Наименование</t>
  </si>
  <si>
    <t>Вид рыбы</t>
  </si>
  <si>
    <t>Поставщик</t>
  </si>
  <si>
    <t>Наша цена</t>
  </si>
  <si>
    <t>Александра Янковская</t>
  </si>
  <si>
    <t>Средняя по рынку</t>
  </si>
  <si>
    <t>Отклонение</t>
  </si>
  <si>
    <t>ЯЛавка</t>
  </si>
  <si>
    <t>Ед. изм.</t>
  </si>
  <si>
    <t>Пятерочка</t>
  </si>
  <si>
    <t>Перекресток</t>
  </si>
  <si>
    <t>Магнит</t>
  </si>
  <si>
    <t>ВВ</t>
  </si>
  <si>
    <t>Цена (Опт)</t>
  </si>
  <si>
    <t>Ашан</t>
  </si>
  <si>
    <t>Лента</t>
  </si>
  <si>
    <t>Дикси</t>
  </si>
  <si>
    <t>Компас ДВ(Авито)</t>
  </si>
  <si>
    <t>Цена (Розница)</t>
  </si>
  <si>
    <t>Форель и не только(авито)*Не разрезанная</t>
  </si>
  <si>
    <t>Себестоимость партии</t>
  </si>
  <si>
    <t>Комментарии</t>
  </si>
  <si>
    <t>Форель свежая</t>
  </si>
  <si>
    <t>Анастасия Енина</t>
  </si>
  <si>
    <t>Упаковка</t>
  </si>
  <si>
    <t>Термопакет 42*45</t>
  </si>
  <si>
    <t>Прибыль</t>
  </si>
  <si>
    <t>https://www.avito.ru/moskva/posuda_i_tovary_dlya_kuhni/termopaket_novyy_7571751803?context=H4sIAAAAAAAA_wE_AMD_YToyOntzOjEzOiJsb2NhbFByaW9yaXR5IjtiOjA7czoxOiJ4IjtzOjE2OiJNUVhtYmdvck41ZEozZWF0Ijt9-b5tGD8AAAA</t>
  </si>
  <si>
    <t>Дима Сасин</t>
  </si>
  <si>
    <t>-</t>
  </si>
  <si>
    <t>Саша Г.</t>
  </si>
  <si>
    <t>0,5</t>
  </si>
  <si>
    <t>Форель замороженная</t>
  </si>
  <si>
    <t>Маша Юрченко</t>
  </si>
  <si>
    <t>Налоги</t>
  </si>
  <si>
    <t>Семга свежая</t>
  </si>
  <si>
    <t>Саша Черкасский</t>
  </si>
  <si>
    <t>Чистая прибыль</t>
  </si>
  <si>
    <t>Семга мороженная</t>
  </si>
  <si>
    <t>Вера Масляк</t>
  </si>
  <si>
    <t>Тунец мороженный 0,5 кг</t>
  </si>
  <si>
    <t>Елисей Франчук</t>
  </si>
  <si>
    <t>Инвентарь</t>
  </si>
  <si>
    <t>Даниил Манкевич</t>
  </si>
  <si>
    <t>0,25</t>
  </si>
  <si>
    <t>Дорадо</t>
  </si>
  <si>
    <t>Термобокс</t>
  </si>
  <si>
    <t>Общие постоянные расходы</t>
  </si>
  <si>
    <t>Самвел Инджян</t>
  </si>
  <si>
    <t>350₽</t>
  </si>
  <si>
    <t>Сибас</t>
  </si>
  <si>
    <t>Бенз+Масло (Дорога по вс – 51 км)</t>
  </si>
  <si>
    <t xml:space="preserve">Аммортизация авто (страховка + обслуживание) </t>
  </si>
  <si>
    <t>Аренда сервера</t>
  </si>
  <si>
    <t>Термопакеты (30 штук еженедельно)</t>
  </si>
  <si>
    <t>Разовые расходы</t>
  </si>
  <si>
    <t>Термосумка/термоконтейнер – 3</t>
  </si>
  <si>
    <t>Этикетки</t>
  </si>
  <si>
    <t>Хладоаккамуляторы</t>
  </si>
  <si>
    <t>ИТОГО</t>
  </si>
  <si>
    <t>Учет расходов</t>
  </si>
  <si>
    <t>Дата</t>
  </si>
  <si>
    <t>Описание</t>
  </si>
  <si>
    <t>Сумма</t>
  </si>
  <si>
    <t>Примечание</t>
  </si>
  <si>
    <t>Рыба</t>
  </si>
  <si>
    <t>Сёмга</t>
  </si>
  <si>
    <t>Расходники</t>
  </si>
  <si>
    <t>Аккумуляторы хол.</t>
  </si>
  <si>
    <t>Термоэтикетка</t>
  </si>
  <si>
    <t>Домен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</si>
</sst>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[$ ₽]"/>
    <numFmt numFmtId="165" formatCode="#,##0.00&quot; ₽&quot;"/>
    <numFmt numFmtId="166" formatCode="+0.00;-0.00;0.00"/>
    <numFmt numFmtId="167" formatCode="M/d/yyyy"/>
    <numFmt numFmtId="168" formatCode="#,##0.00 ₽"/>
    <numFmt numFmtId="169" formatCode="dd.mm.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b/>
      <sz val="11.0"/>
      <color rgb="FFFFFFFF"/>
      <name val="Montserrat"/>
    </font>
    <font/>
    <font>
      <b/>
      <sz val="24.0"/>
      <color rgb="FF435E91"/>
      <name val="Arial"/>
      <scheme val="minor"/>
    </font>
    <font>
      <b/>
      <sz val="10.0"/>
      <color rgb="FF384855"/>
      <name val="Montserrat"/>
    </font>
    <font>
      <b/>
      <sz val="10.0"/>
      <color rgb="FF3E4658"/>
      <name val="Arial"/>
      <scheme val="minor"/>
    </font>
    <font>
      <b/>
      <sz val="18.0"/>
      <color rgb="FF3E4658"/>
      <name val="Arial"/>
      <scheme val="minor"/>
    </font>
    <font>
      <sz val="10.0"/>
      <color theme="1"/>
      <name val="Roboto"/>
    </font>
    <font>
      <b/>
      <sz val="16.0"/>
      <color rgb="FF3B5F90"/>
      <name val="Montserrat"/>
    </font>
    <font>
      <b/>
      <color theme="1"/>
      <name val="Montserrat"/>
    </font>
    <font>
      <b/>
      <color rgb="FFFFFFFF"/>
      <name val="Arial"/>
      <scheme val="minor"/>
    </font>
    <font>
      <u/>
      <sz val="11.0"/>
      <color rgb="FF000000"/>
      <name val="Manrope"/>
    </font>
    <font>
      <b/>
      <color theme="1"/>
      <name val="Arial"/>
      <scheme val="minor"/>
    </font>
    <font>
      <b/>
      <sz val="14.0"/>
      <color rgb="FF435E91"/>
      <name val="Montserrat"/>
    </font>
    <font>
      <sz val="10.0"/>
      <color rgb="FF1A1B1F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36387"/>
        <bgColor rgb="FF236387"/>
      </patternFill>
    </fill>
    <fill>
      <patternFill patternType="solid">
        <fgColor rgb="FFD2E4F5"/>
        <bgColor rgb="FFD2E4F5"/>
      </patternFill>
    </fill>
    <fill>
      <patternFill patternType="solid">
        <fgColor rgb="FFDBE1F8"/>
        <bgColor rgb="FFDBE1F8"/>
      </patternFill>
    </fill>
    <fill>
      <patternFill patternType="solid">
        <fgColor rgb="FFFCE5CD"/>
        <bgColor rgb="FFFCE5CD"/>
      </patternFill>
    </fill>
    <fill>
      <patternFill patternType="solid">
        <fgColor rgb="FF435E91"/>
        <bgColor rgb="FF435E9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2">
    <border/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Font="1"/>
    <xf borderId="4" fillId="3" fontId="3" numFmtId="0" xfId="0" applyAlignment="1" applyBorder="1" applyFill="1" applyFont="1">
      <alignment horizontal="center" readingOrder="0" vertical="center"/>
    </xf>
    <xf borderId="1" fillId="0" fontId="4" numFmtId="0" xfId="0" applyBorder="1" applyFont="1"/>
    <xf borderId="0" fillId="3" fontId="3" numFmtId="0" xfId="0" applyAlignment="1" applyFont="1">
      <alignment horizontal="center" readingOrder="0" vertical="center"/>
    </xf>
    <xf borderId="0" fillId="2" fontId="1" numFmtId="0" xfId="0" applyFont="1"/>
    <xf borderId="0" fillId="0" fontId="5" numFmtId="0" xfId="0" applyAlignment="1" applyFont="1">
      <alignment vertical="center"/>
    </xf>
    <xf borderId="4" fillId="4" fontId="6" numFmtId="0" xfId="0" applyAlignment="1" applyBorder="1" applyFill="1" applyFont="1">
      <alignment horizontal="center" readingOrder="0" vertical="center"/>
    </xf>
    <xf borderId="0" fillId="5" fontId="7" numFmtId="0" xfId="0" applyAlignment="1" applyFill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readingOrder="0"/>
    </xf>
    <xf borderId="6" fillId="2" fontId="1" numFmtId="164" xfId="0" applyAlignment="1" applyBorder="1" applyFont="1" applyNumberFormat="1">
      <alignment readingOrder="0"/>
    </xf>
    <xf borderId="0" fillId="5" fontId="8" numFmtId="0" xfId="0" applyAlignment="1" applyFont="1">
      <alignment horizontal="center" vertical="center"/>
    </xf>
    <xf borderId="4" fillId="0" fontId="9" numFmtId="0" xfId="0" applyAlignment="1" applyBorder="1" applyFont="1">
      <alignment readingOrder="0" vertical="center"/>
    </xf>
    <xf borderId="0" fillId="0" fontId="1" numFmtId="164" xfId="0" applyFont="1" applyNumberFormat="1"/>
    <xf borderId="0" fillId="0" fontId="9" numFmtId="0" xfId="0" applyAlignment="1" applyFont="1">
      <alignment readingOrder="0" vertical="center"/>
    </xf>
    <xf borderId="0" fillId="0" fontId="1" numFmtId="164" xfId="0" applyFont="1" applyNumberFormat="1"/>
    <xf borderId="1" fillId="0" fontId="9" numFmtId="165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readingOrder="0"/>
    </xf>
    <xf borderId="0" fillId="5" fontId="8" numFmtId="166" xfId="0" applyAlignment="1" applyFont="1" applyNumberFormat="1">
      <alignment horizontal="center" vertical="center"/>
    </xf>
    <xf borderId="0" fillId="0" fontId="10" numFmtId="0" xfId="0" applyFont="1"/>
    <xf borderId="7" fillId="6" fontId="1" numFmtId="0" xfId="0" applyAlignment="1" applyBorder="1" applyFill="1" applyFont="1">
      <alignment readingOrder="0"/>
    </xf>
    <xf borderId="0" fillId="0" fontId="11" numFmtId="0" xfId="0" applyAlignment="1" applyFont="1">
      <alignment horizontal="left" readingOrder="0" shrinkToFit="0" vertical="center" wrapText="0"/>
    </xf>
    <xf borderId="8" fillId="6" fontId="1" numFmtId="164" xfId="0" applyAlignment="1" applyBorder="1" applyFont="1" applyNumberFormat="1">
      <alignment readingOrder="0"/>
    </xf>
    <xf borderId="0" fillId="7" fontId="12" numFmtId="0" xfId="0" applyAlignment="1" applyFill="1" applyFont="1">
      <alignment horizontal="center" vertical="center"/>
    </xf>
    <xf borderId="0" fillId="7" fontId="1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4" xfId="0" applyAlignment="1" applyFont="1" applyNumberFormat="1">
      <alignment horizontal="right" readingOrder="0" vertical="center"/>
    </xf>
    <xf borderId="0" fillId="0" fontId="9" numFmtId="0" xfId="0" applyAlignment="1" applyFont="1">
      <alignment vertical="center"/>
    </xf>
    <xf borderId="1" fillId="0" fontId="9" numFmtId="165" xfId="0" applyAlignment="1" applyBorder="1" applyFont="1" applyNumberFormat="1">
      <alignment horizontal="right" vertical="center"/>
    </xf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/>
    </xf>
    <xf borderId="3" fillId="0" fontId="1" numFmtId="164" xfId="0" applyBorder="1" applyFont="1" applyNumberFormat="1"/>
    <xf borderId="3" fillId="0" fontId="1" numFmtId="0" xfId="0" applyBorder="1" applyFont="1"/>
    <xf borderId="0" fillId="8" fontId="13" numFmtId="0" xfId="0" applyAlignment="1" applyFill="1" applyFont="1">
      <alignment readingOrder="0" shrinkToFit="0" vertical="center" wrapText="0"/>
    </xf>
    <xf borderId="9" fillId="0" fontId="14" numFmtId="0" xfId="0" applyAlignment="1" applyBorder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0" fillId="0" fontId="14" numFmtId="164" xfId="0" applyBorder="1" applyFont="1" applyNumberFormat="1"/>
    <xf borderId="10" fillId="0" fontId="14" numFmtId="0" xfId="0" applyBorder="1" applyFont="1"/>
    <xf borderId="11" fillId="0" fontId="14" numFmtId="0" xfId="0" applyBorder="1" applyFont="1"/>
    <xf borderId="5" fillId="9" fontId="1" numFmtId="0" xfId="0" applyAlignment="1" applyBorder="1" applyFill="1" applyFont="1">
      <alignment readingOrder="0"/>
    </xf>
    <xf borderId="0" fillId="0" fontId="2" numFmtId="0" xfId="0" applyAlignment="1" applyFont="1">
      <alignment shrinkToFit="0" vertical="center" wrapText="0"/>
    </xf>
    <xf borderId="6" fillId="9" fontId="1" numFmtId="0" xfId="0" applyBorder="1" applyFont="1"/>
    <xf borderId="4" fillId="0" fontId="9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7" fillId="10" fontId="1" numFmtId="0" xfId="0" applyAlignment="1" applyBorder="1" applyFill="1" applyFont="1">
      <alignment readingOrder="0"/>
    </xf>
    <xf borderId="4" fillId="0" fontId="1" numFmtId="0" xfId="0" applyBorder="1" applyFont="1"/>
    <xf borderId="8" fillId="10" fontId="1" numFmtId="0" xfId="0" applyBorder="1" applyFont="1"/>
    <xf borderId="8" fillId="10" fontId="1" numFmtId="0" xfId="0" applyAlignment="1" applyBorder="1" applyFont="1">
      <alignment readingOrder="0"/>
    </xf>
    <xf borderId="0" fillId="10" fontId="1" numFmtId="0" xfId="0" applyFont="1"/>
    <xf borderId="3" fillId="0" fontId="1" numFmtId="0" xfId="0" applyAlignment="1" applyBorder="1" applyFont="1">
      <alignment readingOrder="0"/>
    </xf>
    <xf borderId="0" fillId="0" fontId="1" numFmtId="165" xfId="0" applyFont="1" applyNumberFormat="1"/>
    <xf borderId="0" fillId="0" fontId="15" numFmtId="0" xfId="0" applyFont="1"/>
    <xf borderId="0" fillId="7" fontId="3" numFmtId="0" xfId="0" applyAlignment="1" applyFont="1">
      <alignment horizontal="center"/>
    </xf>
    <xf borderId="0" fillId="0" fontId="16" numFmtId="0" xfId="0" applyAlignment="1" applyFont="1">
      <alignment readingOrder="0" vertical="center"/>
    </xf>
    <xf borderId="0" fillId="0" fontId="16" numFmtId="168" xfId="0" applyAlignment="1" applyFont="1" applyNumberFormat="1">
      <alignment readingOrder="0" vertical="center"/>
    </xf>
    <xf borderId="0" fillId="0" fontId="16" numFmtId="0" xfId="0" applyAlignment="1" applyFont="1">
      <alignment vertical="center"/>
    </xf>
    <xf borderId="0" fillId="0" fontId="16" numFmtId="169" xfId="0" applyAlignment="1" applyFont="1" applyNumberFormat="1">
      <alignment vertical="center"/>
    </xf>
    <xf borderId="0" fillId="0" fontId="16" numFmtId="168" xfId="0" applyAlignment="1" applyFont="1" applyNumberForma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6F9FD"/>
          <bgColor rgb="FFF6F9FD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B5F90"/>
          <bgColor rgb="FF3B5F90"/>
        </patternFill>
      </fill>
      <border/>
    </dxf>
    <dxf>
      <border>
        <left style="thin">
          <color rgb="FF3B5F90"/>
        </left>
        <right style="thin">
          <color rgb="FF3B5F90"/>
        </right>
        <top style="thin">
          <color rgb="FF3B5F90"/>
        </top>
        <bottom style="thin">
          <color rgb="FF3B5F90"/>
        </bottom>
      </border>
    </dxf>
    <dxf>
      <font>
        <color rgb="FF670022"/>
      </font>
      <fill>
        <patternFill patternType="solid">
          <fgColor rgb="FFFF859A"/>
          <bgColor rgb="FFFF859A"/>
        </patternFill>
      </fill>
      <border/>
    </dxf>
    <dxf>
      <font>
        <color rgb="FF003823"/>
      </font>
      <fill>
        <patternFill patternType="solid">
          <fgColor rgb="FF3EC08A"/>
          <bgColor rgb="FF3EC08A"/>
        </patternFill>
      </fill>
      <border/>
    </dxf>
  </dxfs>
  <tableStyles count="3">
    <tableStyle count="2" pivot="0" name="План по закупкам-style">
      <tableStyleElement dxfId="1" type="firstRowStripe"/>
      <tableStyleElement dxfId="3" type="secondRowStripe"/>
    </tableStyle>
    <tableStyle count="2" pivot="0" name="Мониторинг рынка-style">
      <tableStyleElement dxfId="2" type="firstRowStripe"/>
      <tableStyleElement dxfId="3" type="secondRowStripe"/>
    </tableStyle>
    <tableStyle count="4" pivot="0" name="Расходники-style">
      <tableStyleElement dxfId="4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P26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Мониторинг рынка-style" showColumnStripes="0" showFirstColumn="1" showLastColumn="1" showRowStripes="1"/>
</table>
</file>

<file path=xl/tables/table2.xml><?xml version="1.0" encoding="utf-8"?>
<table xmlns="http://schemas.openxmlformats.org/spreadsheetml/2006/main" headerRowCount="0" ref="B3:S20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План по закупкам-style" showColumnStripes="0" showFirstColumn="1" showLastColumn="1" showRowStripes="1"/>
</table>
</file>

<file path=xl/tables/table3.xml><?xml version="1.0" encoding="utf-8"?>
<table xmlns="http://schemas.openxmlformats.org/spreadsheetml/2006/main" ref="B5:H11" displayName="ConsumablesTable" name="ConsumablesTable" id="3">
  <tableColumns count="7">
    <tableColumn name="Категория" id="1"/>
    <tableColumn name="Наименование" id="2"/>
    <tableColumn name="Поставщик" id="3"/>
    <tableColumn name="Ед. изм." id="4"/>
    <tableColumn name="Цена (Опт)" id="5"/>
    <tableColumn name="Цена (Розница)" id="6"/>
    <tableColumn name="Комментарии" id="7"/>
  </tableColumns>
  <tableStyleInfo name="Расходник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vito.ru/moskva/posuda_i_tovary_dlya_kuhni/termopaket_novyy_7571751803?context=H4sIAAAAAAAA_wE_AMD_YToyOntzOjEzOiJsb2NhbFByaW9yaXR5IjtiOjA7czoxOiJ4IjtzOjE2OiJNUVhtYmdvck41ZEozZWF0Ijt9-b5tGD8AAAA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3.63"/>
    <col customWidth="1" min="3" max="3" width="9.75"/>
    <col customWidth="1" min="4" max="4" width="16.38"/>
    <col customWidth="1" min="5" max="5" width="10.88"/>
    <col customWidth="1" min="6" max="6" width="2.75"/>
    <col customWidth="1" min="15" max="15" width="16.13"/>
    <col customWidth="1" min="16" max="16" width="37.0"/>
  </cols>
  <sheetData>
    <row r="1" ht="6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12" t="s">
        <v>14</v>
      </c>
      <c r="E2" s="7"/>
      <c r="F2" s="7"/>
      <c r="G2" s="14" t="s">
        <v>16</v>
      </c>
      <c r="I2" s="14" t="s">
        <v>18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E3" s="7"/>
      <c r="F3" s="7"/>
      <c r="G3" s="19">
        <f>COUNTA(B7:B26)</f>
        <v>7</v>
      </c>
      <c r="I3" s="26">
        <f>IFERROR(AVERAGE(E7:E26), 0)</f>
        <v>-187.5694444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6.25" customHeight="1">
      <c r="A6" s="7"/>
      <c r="B6" s="31" t="s">
        <v>28</v>
      </c>
      <c r="C6" s="31" t="s">
        <v>30</v>
      </c>
      <c r="D6" s="31" t="s">
        <v>32</v>
      </c>
      <c r="E6" s="31" t="s">
        <v>33</v>
      </c>
      <c r="F6" s="7"/>
      <c r="G6" s="32" t="s">
        <v>34</v>
      </c>
      <c r="H6" s="32" t="s">
        <v>36</v>
      </c>
      <c r="I6" s="32" t="s">
        <v>37</v>
      </c>
      <c r="J6" s="32" t="s">
        <v>38</v>
      </c>
      <c r="K6" s="32" t="s">
        <v>39</v>
      </c>
      <c r="L6" s="32" t="s">
        <v>41</v>
      </c>
      <c r="M6" s="32" t="s">
        <v>42</v>
      </c>
      <c r="N6" s="32" t="s">
        <v>43</v>
      </c>
      <c r="O6" s="32" t="s">
        <v>44</v>
      </c>
      <c r="P6" s="32" t="s">
        <v>46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 ht="26.25" customHeight="1">
      <c r="A7" s="7"/>
      <c r="B7" s="34" t="s">
        <v>49</v>
      </c>
      <c r="C7" s="35">
        <v>1490.0</v>
      </c>
      <c r="D7" s="39">
        <f t="shared" ref="D7:D26" si="1">IFERROR(AVERAGE(G7:P7), "")</f>
        <v>1523.25</v>
      </c>
      <c r="E7" s="39">
        <f t="shared" ref="E7:E26" si="2">IF(OR(ISBLANK(C7), D7=""), "", C7-D7)</f>
        <v>-33.25</v>
      </c>
      <c r="F7" s="39"/>
      <c r="G7" s="35" t="s">
        <v>56</v>
      </c>
      <c r="H7" s="35" t="s">
        <v>56</v>
      </c>
      <c r="I7" s="35">
        <v>1572.0</v>
      </c>
      <c r="J7" s="35" t="s">
        <v>56</v>
      </c>
      <c r="K7" s="35" t="s">
        <v>56</v>
      </c>
      <c r="L7" s="35">
        <v>1619.0</v>
      </c>
      <c r="M7" s="35">
        <v>1378.75</v>
      </c>
      <c r="N7" s="35" t="s">
        <v>56</v>
      </c>
      <c r="O7" s="35" t="s">
        <v>56</v>
      </c>
      <c r="P7" s="39"/>
      <c r="Q7" s="7"/>
      <c r="R7" s="7"/>
      <c r="S7" s="7"/>
      <c r="T7" s="7"/>
      <c r="U7" s="7"/>
      <c r="V7" s="7"/>
      <c r="W7" s="7"/>
      <c r="X7" s="7"/>
      <c r="Y7" s="7"/>
      <c r="Z7" s="7"/>
    </row>
    <row r="8" ht="26.25" customHeight="1">
      <c r="A8" s="7"/>
      <c r="B8" s="34" t="s">
        <v>59</v>
      </c>
      <c r="C8" s="35">
        <v>1490.0</v>
      </c>
      <c r="D8" s="39">
        <f t="shared" si="1"/>
        <v>1831.888889</v>
      </c>
      <c r="E8" s="39">
        <f t="shared" si="2"/>
        <v>-341.8888889</v>
      </c>
      <c r="F8" s="39"/>
      <c r="G8" s="35">
        <v>1838.0</v>
      </c>
      <c r="H8" s="35">
        <v>3247.0</v>
      </c>
      <c r="I8" s="35">
        <v>1470.0</v>
      </c>
      <c r="J8" s="35">
        <v>1400.0</v>
      </c>
      <c r="K8" s="35">
        <v>2374.0</v>
      </c>
      <c r="L8" s="35">
        <v>1599.0</v>
      </c>
      <c r="M8" s="35" t="s">
        <v>56</v>
      </c>
      <c r="N8" s="35">
        <v>1719.0</v>
      </c>
      <c r="O8" s="35">
        <v>1600.0</v>
      </c>
      <c r="P8" s="35">
        <v>1240.0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ht="26.25" customHeight="1">
      <c r="A9" s="7"/>
      <c r="B9" s="34" t="s">
        <v>62</v>
      </c>
      <c r="C9" s="39"/>
      <c r="D9" s="39">
        <f t="shared" si="1"/>
        <v>2337</v>
      </c>
      <c r="E9" s="39" t="str">
        <f t="shared" si="2"/>
        <v/>
      </c>
      <c r="F9" s="39"/>
      <c r="G9" s="35" t="s">
        <v>56</v>
      </c>
      <c r="H9" s="35" t="s">
        <v>56</v>
      </c>
      <c r="I9" s="35">
        <v>2799.0</v>
      </c>
      <c r="J9" s="35">
        <v>1985.0</v>
      </c>
      <c r="K9" s="35">
        <v>3190.0</v>
      </c>
      <c r="L9" s="35">
        <v>2449.0</v>
      </c>
      <c r="M9" s="35">
        <v>1799.0</v>
      </c>
      <c r="N9" s="35" t="s">
        <v>56</v>
      </c>
      <c r="O9" s="35" t="s">
        <v>56</v>
      </c>
      <c r="P9" s="35">
        <v>1800.0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ht="26.25" customHeight="1">
      <c r="A10" s="7"/>
      <c r="B10" s="34" t="s">
        <v>65</v>
      </c>
      <c r="C10" s="39"/>
      <c r="D10" s="39">
        <f t="shared" si="1"/>
        <v>2387.5</v>
      </c>
      <c r="E10" s="39" t="str">
        <f t="shared" si="2"/>
        <v/>
      </c>
      <c r="F10" s="39"/>
      <c r="G10" s="35" t="s">
        <v>56</v>
      </c>
      <c r="H10" s="35" t="s">
        <v>56</v>
      </c>
      <c r="I10" s="35">
        <v>3516.0</v>
      </c>
      <c r="J10" s="35">
        <v>2358.0</v>
      </c>
      <c r="K10" s="35">
        <v>3825.0</v>
      </c>
      <c r="L10" s="35">
        <v>2280.0</v>
      </c>
      <c r="M10" s="35">
        <v>1699.0</v>
      </c>
      <c r="N10" s="35">
        <v>1872.0</v>
      </c>
      <c r="O10" s="35">
        <v>1900.0</v>
      </c>
      <c r="P10" s="35">
        <v>1650.0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6.25" customHeight="1">
      <c r="A11" s="7"/>
      <c r="B11" s="34" t="s">
        <v>67</v>
      </c>
      <c r="C11" s="39"/>
      <c r="D11" s="39" t="str">
        <f t="shared" si="1"/>
        <v/>
      </c>
      <c r="E11" s="39" t="str">
        <f t="shared" si="2"/>
        <v/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6.25" customHeight="1">
      <c r="A12" s="7"/>
      <c r="B12" s="34" t="s">
        <v>72</v>
      </c>
      <c r="C12" s="39"/>
      <c r="D12" s="39" t="str">
        <f t="shared" si="1"/>
        <v/>
      </c>
      <c r="E12" s="39" t="str">
        <f t="shared" si="2"/>
        <v/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6.25" customHeight="1">
      <c r="A13" s="7"/>
      <c r="B13" s="34" t="s">
        <v>77</v>
      </c>
      <c r="C13" s="39"/>
      <c r="D13" s="39" t="str">
        <f t="shared" si="1"/>
        <v/>
      </c>
      <c r="E13" s="39" t="str">
        <f t="shared" si="2"/>
        <v/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6.25" customHeight="1">
      <c r="A14" s="7"/>
      <c r="B14" s="55"/>
      <c r="C14" s="39"/>
      <c r="D14" s="39" t="str">
        <f t="shared" si="1"/>
        <v/>
      </c>
      <c r="E14" s="39" t="str">
        <f t="shared" si="2"/>
        <v/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6.25" customHeight="1">
      <c r="A15" s="7"/>
      <c r="B15" s="55"/>
      <c r="C15" s="39"/>
      <c r="D15" s="39" t="str">
        <f t="shared" si="1"/>
        <v/>
      </c>
      <c r="E15" s="39" t="str">
        <f t="shared" si="2"/>
        <v/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6.25" customHeight="1">
      <c r="A16" s="7"/>
      <c r="B16" s="55"/>
      <c r="C16" s="39"/>
      <c r="D16" s="39" t="str">
        <f t="shared" si="1"/>
        <v/>
      </c>
      <c r="E16" s="39" t="str">
        <f t="shared" si="2"/>
        <v/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6.25" customHeight="1">
      <c r="A17" s="7"/>
      <c r="B17" s="55"/>
      <c r="C17" s="39"/>
      <c r="D17" s="39" t="str">
        <f t="shared" si="1"/>
        <v/>
      </c>
      <c r="E17" s="39" t="str">
        <f t="shared" si="2"/>
        <v/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6.25" customHeight="1">
      <c r="A18" s="7"/>
      <c r="B18" s="55"/>
      <c r="C18" s="39"/>
      <c r="D18" s="39" t="str">
        <f t="shared" si="1"/>
        <v/>
      </c>
      <c r="E18" s="39" t="str">
        <f t="shared" si="2"/>
        <v/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6.25" customHeight="1">
      <c r="A19" s="7"/>
      <c r="B19" s="55"/>
      <c r="C19" s="39"/>
      <c r="D19" s="39" t="str">
        <f t="shared" si="1"/>
        <v/>
      </c>
      <c r="E19" s="39" t="str">
        <f t="shared" si="2"/>
        <v/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6.25" customHeight="1">
      <c r="A20" s="7"/>
      <c r="B20" s="55"/>
      <c r="C20" s="39"/>
      <c r="D20" s="39" t="str">
        <f t="shared" si="1"/>
        <v/>
      </c>
      <c r="E20" s="39" t="str">
        <f t="shared" si="2"/>
        <v/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6.25" customHeight="1">
      <c r="A21" s="7"/>
      <c r="B21" s="55"/>
      <c r="C21" s="39"/>
      <c r="D21" s="39" t="str">
        <f t="shared" si="1"/>
        <v/>
      </c>
      <c r="E21" s="39" t="str">
        <f t="shared" si="2"/>
        <v/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6.25" customHeight="1">
      <c r="A22" s="7"/>
      <c r="B22" s="55"/>
      <c r="C22" s="39"/>
      <c r="D22" s="39" t="str">
        <f t="shared" si="1"/>
        <v/>
      </c>
      <c r="E22" s="39" t="str">
        <f t="shared" si="2"/>
        <v/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6.25" customHeight="1">
      <c r="A23" s="7"/>
      <c r="B23" s="55"/>
      <c r="C23" s="39"/>
      <c r="D23" s="39" t="str">
        <f t="shared" si="1"/>
        <v/>
      </c>
      <c r="E23" s="39" t="str">
        <f t="shared" si="2"/>
        <v/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6.25" customHeight="1">
      <c r="A24" s="7"/>
      <c r="B24" s="55"/>
      <c r="C24" s="39"/>
      <c r="D24" s="39" t="str">
        <f t="shared" si="1"/>
        <v/>
      </c>
      <c r="E24" s="39" t="str">
        <f t="shared" si="2"/>
        <v/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6.25" customHeight="1">
      <c r="A25" s="7"/>
      <c r="B25" s="55"/>
      <c r="C25" s="39"/>
      <c r="D25" s="39" t="str">
        <f t="shared" si="1"/>
        <v/>
      </c>
      <c r="E25" s="39" t="str">
        <f t="shared" si="2"/>
        <v/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6.25" customHeight="1">
      <c r="A26" s="7"/>
      <c r="B26" s="55"/>
      <c r="C26" s="39"/>
      <c r="D26" s="39" t="str">
        <f t="shared" si="1"/>
        <v/>
      </c>
      <c r="E26" s="39" t="str">
        <f t="shared" si="2"/>
        <v/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D3"/>
    <mergeCell ref="G2:H2"/>
    <mergeCell ref="I2:J2"/>
    <mergeCell ref="G3:H3"/>
    <mergeCell ref="I3:J3"/>
  </mergeCells>
  <conditionalFormatting sqref="E7:E26">
    <cfRule type="cellIs" dxfId="6" priority="1" stopIfTrue="1" operator="greaterThan">
      <formula>0</formula>
    </cfRule>
  </conditionalFormatting>
  <conditionalFormatting sqref="E7:E26">
    <cfRule type="cellIs" dxfId="7" priority="2" stopIfTrue="1" operator="lessThan">
      <formula>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" t="s">
        <v>12</v>
      </c>
      <c r="B2" s="4">
        <v>8.0</v>
      </c>
      <c r="C2" s="4">
        <v>30.0</v>
      </c>
      <c r="D2" s="4">
        <v>30.0</v>
      </c>
      <c r="E2" s="4">
        <v>30.0</v>
      </c>
      <c r="F2" s="4">
        <v>30.0</v>
      </c>
      <c r="G2" s="4">
        <v>30.0</v>
      </c>
      <c r="H2" s="4">
        <v>30.0</v>
      </c>
      <c r="I2" s="4">
        <v>30.0</v>
      </c>
      <c r="J2" s="4">
        <v>30.0</v>
      </c>
      <c r="K2" s="4">
        <v>30.0</v>
      </c>
      <c r="L2" s="4">
        <v>30.0</v>
      </c>
      <c r="M2" s="4">
        <v>30.0</v>
      </c>
    </row>
    <row r="3">
      <c r="A3" s="5" t="s">
        <v>13</v>
      </c>
      <c r="B3" s="6">
        <v>50.45</v>
      </c>
      <c r="C3" s="11">
        <f t="shared" ref="C3:M3" si="1">C2*2.8</f>
        <v>84</v>
      </c>
      <c r="D3" s="11">
        <f t="shared" si="1"/>
        <v>84</v>
      </c>
      <c r="E3" s="11">
        <f t="shared" si="1"/>
        <v>84</v>
      </c>
      <c r="F3" s="11">
        <f t="shared" si="1"/>
        <v>84</v>
      </c>
      <c r="G3" s="11">
        <f t="shared" si="1"/>
        <v>84</v>
      </c>
      <c r="H3" s="11">
        <f t="shared" si="1"/>
        <v>84</v>
      </c>
      <c r="I3" s="11">
        <f t="shared" si="1"/>
        <v>84</v>
      </c>
      <c r="J3" s="11">
        <f t="shared" si="1"/>
        <v>84</v>
      </c>
      <c r="K3" s="11">
        <f t="shared" si="1"/>
        <v>84</v>
      </c>
      <c r="L3" s="11">
        <f t="shared" si="1"/>
        <v>84</v>
      </c>
      <c r="M3" s="11">
        <f t="shared" si="1"/>
        <v>84</v>
      </c>
    </row>
    <row r="4">
      <c r="A4" s="17" t="s">
        <v>20</v>
      </c>
      <c r="B4" s="18">
        <v>1800.0</v>
      </c>
      <c r="C4" s="18">
        <v>1450.0</v>
      </c>
      <c r="D4" s="18">
        <v>1450.0</v>
      </c>
      <c r="E4" s="18">
        <v>1450.0</v>
      </c>
      <c r="F4" s="18">
        <v>1450.0</v>
      </c>
      <c r="G4" s="18">
        <v>1450.0</v>
      </c>
      <c r="H4" s="18">
        <v>1450.0</v>
      </c>
      <c r="I4" s="18">
        <v>1450.0</v>
      </c>
      <c r="J4" s="18">
        <v>1450.0</v>
      </c>
      <c r="K4" s="18">
        <v>1450.0</v>
      </c>
      <c r="L4" s="18">
        <v>1450.0</v>
      </c>
      <c r="M4" s="18">
        <v>1450.0</v>
      </c>
      <c r="N4" s="21"/>
      <c r="O4" s="21"/>
      <c r="P4" s="23"/>
      <c r="Q4" s="23"/>
      <c r="R4" s="23"/>
    </row>
    <row r="5">
      <c r="A5" s="25" t="s">
        <v>22</v>
      </c>
      <c r="B5" s="21">
        <f t="shared" ref="B5:M5" si="2">B3*B4</f>
        <v>90810</v>
      </c>
      <c r="C5" s="21">
        <f t="shared" si="2"/>
        <v>121800</v>
      </c>
      <c r="D5" s="21">
        <f t="shared" si="2"/>
        <v>121800</v>
      </c>
      <c r="E5" s="21">
        <f t="shared" si="2"/>
        <v>121800</v>
      </c>
      <c r="F5" s="21">
        <f t="shared" si="2"/>
        <v>121800</v>
      </c>
      <c r="G5" s="21">
        <f t="shared" si="2"/>
        <v>121800</v>
      </c>
      <c r="H5" s="21">
        <f t="shared" si="2"/>
        <v>121800</v>
      </c>
      <c r="I5" s="21">
        <f t="shared" si="2"/>
        <v>121800</v>
      </c>
      <c r="J5" s="21">
        <f t="shared" si="2"/>
        <v>121800</v>
      </c>
      <c r="K5" s="21">
        <f t="shared" si="2"/>
        <v>121800</v>
      </c>
      <c r="L5" s="21">
        <f t="shared" si="2"/>
        <v>121800</v>
      </c>
      <c r="M5" s="21">
        <f t="shared" si="2"/>
        <v>121800</v>
      </c>
      <c r="N5" s="21"/>
      <c r="O5" s="21"/>
      <c r="P5" s="23"/>
      <c r="Q5" s="23"/>
      <c r="R5" s="23"/>
    </row>
    <row r="6">
      <c r="A6" s="28" t="s">
        <v>26</v>
      </c>
      <c r="B6" s="30">
        <v>1470.0</v>
      </c>
      <c r="C6" s="30">
        <v>900.0</v>
      </c>
      <c r="D6" s="30">
        <v>900.0</v>
      </c>
      <c r="E6" s="30">
        <v>900.0</v>
      </c>
      <c r="F6" s="30">
        <v>900.0</v>
      </c>
      <c r="G6" s="30">
        <v>900.0</v>
      </c>
      <c r="H6" s="30">
        <v>900.0</v>
      </c>
      <c r="I6" s="30">
        <v>900.0</v>
      </c>
      <c r="J6" s="30">
        <v>900.0</v>
      </c>
      <c r="K6" s="30">
        <v>900.0</v>
      </c>
      <c r="L6" s="30">
        <v>900.0</v>
      </c>
      <c r="M6" s="30">
        <v>900.0</v>
      </c>
      <c r="N6" s="33"/>
      <c r="O6" s="33"/>
    </row>
    <row r="7">
      <c r="A7" s="25" t="s">
        <v>47</v>
      </c>
      <c r="B7" s="21">
        <f t="shared" ref="B7:N7" si="3">B3*B6</f>
        <v>74161.5</v>
      </c>
      <c r="C7" s="21">
        <f t="shared" si="3"/>
        <v>75600</v>
      </c>
      <c r="D7" s="21">
        <f t="shared" si="3"/>
        <v>75600</v>
      </c>
      <c r="E7" s="21">
        <f t="shared" si="3"/>
        <v>75600</v>
      </c>
      <c r="F7" s="21">
        <f t="shared" si="3"/>
        <v>75600</v>
      </c>
      <c r="G7" s="21">
        <f t="shared" si="3"/>
        <v>75600</v>
      </c>
      <c r="H7" s="21">
        <f t="shared" si="3"/>
        <v>75600</v>
      </c>
      <c r="I7" s="21">
        <f t="shared" si="3"/>
        <v>75600</v>
      </c>
      <c r="J7" s="21">
        <f t="shared" si="3"/>
        <v>75600</v>
      </c>
      <c r="K7" s="21">
        <f t="shared" si="3"/>
        <v>75600</v>
      </c>
      <c r="L7" s="21">
        <f t="shared" si="3"/>
        <v>75600</v>
      </c>
      <c r="M7" s="21">
        <f t="shared" si="3"/>
        <v>75600</v>
      </c>
      <c r="N7" s="21">
        <f t="shared" si="3"/>
        <v>0</v>
      </c>
      <c r="O7" s="21"/>
    </row>
    <row r="8">
      <c r="A8" s="41" t="s">
        <v>53</v>
      </c>
      <c r="B8" s="42">
        <f t="shared" ref="B8:M8" si="4">B5-B7</f>
        <v>16648.5</v>
      </c>
      <c r="C8" s="42">
        <f t="shared" si="4"/>
        <v>46200</v>
      </c>
      <c r="D8" s="42">
        <f t="shared" si="4"/>
        <v>46200</v>
      </c>
      <c r="E8" s="42">
        <f t="shared" si="4"/>
        <v>46200</v>
      </c>
      <c r="F8" s="42">
        <f t="shared" si="4"/>
        <v>46200</v>
      </c>
      <c r="G8" s="42">
        <f t="shared" si="4"/>
        <v>46200</v>
      </c>
      <c r="H8" s="42">
        <f t="shared" si="4"/>
        <v>46200</v>
      </c>
      <c r="I8" s="42">
        <f t="shared" si="4"/>
        <v>46200</v>
      </c>
      <c r="J8" s="42">
        <f t="shared" si="4"/>
        <v>46200</v>
      </c>
      <c r="K8" s="42">
        <f t="shared" si="4"/>
        <v>46200</v>
      </c>
      <c r="L8" s="42">
        <f t="shared" si="4"/>
        <v>46200</v>
      </c>
      <c r="M8" s="42">
        <f t="shared" si="4"/>
        <v>46200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25" t="s">
        <v>61</v>
      </c>
      <c r="F9" s="21">
        <f t="shared" ref="F9:M9" si="5">F8*0.06 + 1250</f>
        <v>4022</v>
      </c>
      <c r="G9" s="21">
        <f t="shared" si="5"/>
        <v>4022</v>
      </c>
      <c r="H9" s="21">
        <f t="shared" si="5"/>
        <v>4022</v>
      </c>
      <c r="I9" s="21">
        <f t="shared" si="5"/>
        <v>4022</v>
      </c>
      <c r="J9" s="21">
        <f t="shared" si="5"/>
        <v>4022</v>
      </c>
      <c r="K9" s="21">
        <f t="shared" si="5"/>
        <v>4022</v>
      </c>
      <c r="L9" s="21">
        <f t="shared" si="5"/>
        <v>4022</v>
      </c>
      <c r="M9" s="21">
        <f t="shared" si="5"/>
        <v>4022</v>
      </c>
    </row>
    <row r="10">
      <c r="A10" s="45" t="s">
        <v>64</v>
      </c>
      <c r="B10" s="48">
        <f t="shared" ref="B10:M10" si="6">B8-B11-B17-B9</f>
        <v>13721.5</v>
      </c>
      <c r="C10" s="48">
        <f t="shared" si="6"/>
        <v>32180</v>
      </c>
      <c r="D10" s="48">
        <f t="shared" si="6"/>
        <v>32180</v>
      </c>
      <c r="E10" s="48">
        <f t="shared" si="6"/>
        <v>32180</v>
      </c>
      <c r="F10" s="48">
        <f t="shared" si="6"/>
        <v>38138</v>
      </c>
      <c r="G10" s="48">
        <f t="shared" si="6"/>
        <v>38138</v>
      </c>
      <c r="H10" s="48">
        <f t="shared" si="6"/>
        <v>38138</v>
      </c>
      <c r="I10" s="48">
        <f t="shared" si="6"/>
        <v>38138</v>
      </c>
      <c r="J10" s="48">
        <f t="shared" si="6"/>
        <v>38138</v>
      </c>
      <c r="K10" s="48">
        <f t="shared" si="6"/>
        <v>38138</v>
      </c>
      <c r="L10" s="48">
        <f t="shared" si="6"/>
        <v>38138</v>
      </c>
      <c r="M10" s="48">
        <f t="shared" si="6"/>
        <v>38138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50"/>
    </row>
    <row r="11">
      <c r="A11" s="51" t="s">
        <v>74</v>
      </c>
      <c r="B11" s="53">
        <f t="shared" ref="B11:M11" si="7">SUM(B12:B15)</f>
        <v>1500</v>
      </c>
      <c r="C11" s="53">
        <f t="shared" si="7"/>
        <v>14020</v>
      </c>
      <c r="D11" s="53">
        <f t="shared" si="7"/>
        <v>14020</v>
      </c>
      <c r="E11" s="53">
        <f t="shared" si="7"/>
        <v>14020</v>
      </c>
      <c r="F11" s="53">
        <f t="shared" si="7"/>
        <v>4040</v>
      </c>
      <c r="G11" s="53">
        <f t="shared" si="7"/>
        <v>4040</v>
      </c>
      <c r="H11" s="53">
        <f t="shared" si="7"/>
        <v>4040</v>
      </c>
      <c r="I11" s="53">
        <f t="shared" si="7"/>
        <v>4040</v>
      </c>
      <c r="J11" s="53">
        <f t="shared" si="7"/>
        <v>4040</v>
      </c>
      <c r="K11" s="53">
        <f t="shared" si="7"/>
        <v>4040</v>
      </c>
      <c r="L11" s="53">
        <f t="shared" si="7"/>
        <v>4040</v>
      </c>
      <c r="M11" s="53">
        <f t="shared" si="7"/>
        <v>4040</v>
      </c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25" t="s">
        <v>78</v>
      </c>
      <c r="B12" s="2"/>
      <c r="C12" s="2">
        <v>1000.0</v>
      </c>
      <c r="D12" s="2">
        <v>1000.0</v>
      </c>
      <c r="E12" s="2">
        <v>1000.0</v>
      </c>
      <c r="F12" s="2">
        <v>1000.0</v>
      </c>
      <c r="G12" s="2">
        <v>1000.0</v>
      </c>
      <c r="H12" s="2">
        <v>1000.0</v>
      </c>
      <c r="I12" s="2">
        <v>1000.0</v>
      </c>
      <c r="J12" s="2">
        <v>1000.0</v>
      </c>
      <c r="K12" s="2">
        <v>1000.0</v>
      </c>
      <c r="L12" s="2">
        <v>1000.0</v>
      </c>
      <c r="M12" s="2">
        <v>1000.0</v>
      </c>
    </row>
    <row r="13">
      <c r="A13" s="25" t="s">
        <v>79</v>
      </c>
      <c r="B13" s="2">
        <v>1500.0</v>
      </c>
      <c r="C13" s="2">
        <v>1500.0</v>
      </c>
      <c r="D13" s="2">
        <v>1500.0</v>
      </c>
      <c r="E13" s="2">
        <v>1500.0</v>
      </c>
      <c r="F13" s="2">
        <v>1500.0</v>
      </c>
      <c r="G13" s="2">
        <v>1500.0</v>
      </c>
      <c r="H13" s="2">
        <v>1500.0</v>
      </c>
      <c r="I13" s="2">
        <v>1500.0</v>
      </c>
      <c r="J13" s="2">
        <v>1500.0</v>
      </c>
      <c r="K13" s="2">
        <v>1500.0</v>
      </c>
      <c r="L13" s="2">
        <v>1500.0</v>
      </c>
      <c r="M13" s="2">
        <v>1500.0</v>
      </c>
    </row>
    <row r="14">
      <c r="A14" s="25" t="s">
        <v>80</v>
      </c>
      <c r="C14" s="2">
        <v>1500.0</v>
      </c>
      <c r="D14" s="2">
        <v>1500.0</v>
      </c>
      <c r="E14" s="2">
        <v>1500.0</v>
      </c>
      <c r="F14" s="2">
        <v>1500.0</v>
      </c>
      <c r="G14" s="2">
        <v>1500.0</v>
      </c>
      <c r="H14" s="2">
        <v>1500.0</v>
      </c>
      <c r="I14" s="2">
        <v>1500.0</v>
      </c>
      <c r="J14" s="2">
        <v>1500.0</v>
      </c>
      <c r="K14" s="2">
        <v>1500.0</v>
      </c>
      <c r="L14" s="2">
        <v>1500.0</v>
      </c>
      <c r="M14" s="2">
        <v>1500.0</v>
      </c>
      <c r="N14" s="2">
        <v>1500.0</v>
      </c>
    </row>
    <row r="15">
      <c r="A15" s="58" t="s">
        <v>81</v>
      </c>
      <c r="B15" s="59"/>
      <c r="C15" s="59">
        <f t="shared" ref="C15:E15" si="8">334*C2</f>
        <v>10020</v>
      </c>
      <c r="D15" s="59">
        <f t="shared" si="8"/>
        <v>10020</v>
      </c>
      <c r="E15" s="59">
        <f t="shared" si="8"/>
        <v>10020</v>
      </c>
      <c r="F15" s="59">
        <v>40.0</v>
      </c>
      <c r="G15" s="59">
        <v>40.0</v>
      </c>
      <c r="H15" s="59">
        <v>40.0</v>
      </c>
      <c r="I15" s="59">
        <v>40.0</v>
      </c>
      <c r="J15" s="59">
        <v>40.0</v>
      </c>
      <c r="K15" s="59">
        <v>40.0</v>
      </c>
      <c r="L15" s="59">
        <v>40.0</v>
      </c>
      <c r="M15" s="59">
        <v>40.0</v>
      </c>
      <c r="N15" s="60"/>
    </row>
    <row r="16">
      <c r="A16" s="1"/>
    </row>
    <row r="17">
      <c r="A17" s="61" t="s">
        <v>82</v>
      </c>
      <c r="B17" s="63">
        <f>SUM(B18:B29)</f>
        <v>1427</v>
      </c>
      <c r="C17" s="64">
        <v>0.0</v>
      </c>
      <c r="D17" s="64">
        <v>0.0</v>
      </c>
      <c r="E17" s="64">
        <v>0.0</v>
      </c>
      <c r="F17" s="64">
        <v>0.0</v>
      </c>
      <c r="G17" s="64">
        <v>0.0</v>
      </c>
      <c r="H17" s="64">
        <v>0.0</v>
      </c>
      <c r="I17" s="64">
        <v>0.0</v>
      </c>
      <c r="J17" s="64">
        <v>0.0</v>
      </c>
      <c r="K17" s="64">
        <v>0.0</v>
      </c>
      <c r="L17" s="64">
        <v>0.0</v>
      </c>
      <c r="M17" s="64">
        <v>0.0</v>
      </c>
      <c r="N17" s="63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41" t="s">
        <v>83</v>
      </c>
      <c r="B18" s="66">
        <v>340.0</v>
      </c>
      <c r="C18" s="66">
        <v>3000.0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</row>
    <row r="19">
      <c r="A19" s="25" t="s">
        <v>84</v>
      </c>
      <c r="B19" s="2">
        <v>300.0</v>
      </c>
    </row>
    <row r="20">
      <c r="A20" s="25" t="s">
        <v>85</v>
      </c>
      <c r="B20" s="2">
        <v>787.0</v>
      </c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4.5"/>
    <col customWidth="1" min="3" max="3" width="10.13"/>
    <col customWidth="1" min="4" max="4" width="12.63"/>
    <col customWidth="1" min="5" max="5" width="18.88"/>
    <col customWidth="1" min="6" max="6" width="10.13"/>
    <col customWidth="1" min="7" max="7" width="12.63"/>
    <col customWidth="1" min="8" max="8" width="18.88"/>
    <col customWidth="1" min="9" max="9" width="10.13"/>
    <col customWidth="1" min="10" max="10" width="12.63"/>
    <col customWidth="1" min="11" max="11" width="18.88"/>
    <col customWidth="1" min="12" max="12" width="10.13"/>
    <col customWidth="1" min="13" max="13" width="12.63"/>
    <col customWidth="1" min="14" max="14" width="18.88"/>
    <col customWidth="1" min="15" max="15" width="10.13"/>
    <col customWidth="1" min="16" max="16" width="12.63"/>
    <col customWidth="1" min="17" max="17" width="18.88"/>
    <col customWidth="1" min="18" max="18" width="10.13"/>
    <col customWidth="1" min="19" max="19" width="12.63"/>
  </cols>
  <sheetData>
    <row r="1">
      <c r="B1" s="8" t="s">
        <v>0</v>
      </c>
      <c r="D1" s="9"/>
      <c r="E1" s="10" t="s">
        <v>1</v>
      </c>
      <c r="G1" s="9"/>
      <c r="H1" s="10" t="s">
        <v>2</v>
      </c>
      <c r="J1" s="9"/>
      <c r="K1" s="10" t="s">
        <v>3</v>
      </c>
      <c r="M1" s="9"/>
      <c r="N1" s="10" t="s">
        <v>4</v>
      </c>
      <c r="P1" s="9"/>
      <c r="Q1" s="10" t="s">
        <v>5</v>
      </c>
      <c r="S1" s="9"/>
    </row>
    <row r="2">
      <c r="B2" s="13" t="s">
        <v>15</v>
      </c>
      <c r="C2" s="15" t="s">
        <v>17</v>
      </c>
      <c r="D2" s="16" t="s">
        <v>19</v>
      </c>
      <c r="E2" s="15" t="s">
        <v>15</v>
      </c>
      <c r="F2" s="15" t="s">
        <v>17</v>
      </c>
      <c r="G2" s="16" t="s">
        <v>19</v>
      </c>
      <c r="H2" s="15" t="s">
        <v>15</v>
      </c>
      <c r="I2" s="15" t="s">
        <v>17</v>
      </c>
      <c r="J2" s="16" t="s">
        <v>19</v>
      </c>
      <c r="K2" s="15" t="s">
        <v>15</v>
      </c>
      <c r="L2" s="15" t="s">
        <v>17</v>
      </c>
      <c r="M2" s="16" t="s">
        <v>19</v>
      </c>
      <c r="N2" s="15" t="s">
        <v>15</v>
      </c>
      <c r="O2" s="15" t="s">
        <v>17</v>
      </c>
      <c r="P2" s="16" t="s">
        <v>19</v>
      </c>
      <c r="Q2" s="15" t="s">
        <v>15</v>
      </c>
      <c r="R2" s="15" t="s">
        <v>17</v>
      </c>
      <c r="S2" s="16" t="s">
        <v>19</v>
      </c>
    </row>
    <row r="3">
      <c r="B3" s="20" t="s">
        <v>21</v>
      </c>
      <c r="C3" s="22">
        <v>1.0</v>
      </c>
      <c r="D3" s="24">
        <v>10290.0</v>
      </c>
      <c r="E3" s="22"/>
      <c r="F3" s="22"/>
      <c r="G3" s="24"/>
      <c r="H3" s="22"/>
      <c r="I3" s="22"/>
      <c r="J3" s="24"/>
      <c r="K3" s="22"/>
      <c r="L3" s="22"/>
      <c r="M3" s="24"/>
      <c r="N3" s="22"/>
      <c r="O3" s="22"/>
      <c r="P3" s="24"/>
      <c r="Q3" s="22"/>
      <c r="R3" s="22"/>
      <c r="S3" s="24"/>
    </row>
    <row r="4">
      <c r="B4" s="20" t="s">
        <v>25</v>
      </c>
      <c r="C4" s="22">
        <v>1.0</v>
      </c>
      <c r="D4" s="24">
        <v>10290.0</v>
      </c>
      <c r="E4" s="22"/>
      <c r="F4" s="22"/>
      <c r="G4" s="24"/>
      <c r="H4" s="22"/>
      <c r="I4" s="22"/>
      <c r="J4" s="24"/>
      <c r="K4" s="22"/>
      <c r="L4" s="22"/>
      <c r="M4" s="24"/>
      <c r="N4" s="22"/>
      <c r="O4" s="22"/>
      <c r="P4" s="24"/>
      <c r="Q4" s="22"/>
      <c r="R4" s="22"/>
      <c r="S4" s="24"/>
    </row>
    <row r="5">
      <c r="B5" s="20" t="s">
        <v>31</v>
      </c>
      <c r="C5" s="22">
        <v>1.0</v>
      </c>
      <c r="D5" s="24">
        <v>10290.0</v>
      </c>
      <c r="E5" s="22"/>
      <c r="F5" s="22"/>
      <c r="G5" s="24"/>
      <c r="H5" s="22"/>
      <c r="I5" s="22"/>
      <c r="J5" s="24"/>
      <c r="K5" s="22"/>
      <c r="L5" s="22"/>
      <c r="M5" s="24"/>
      <c r="N5" s="22"/>
      <c r="O5" s="22"/>
      <c r="P5" s="24"/>
      <c r="Q5" s="22"/>
      <c r="R5" s="22"/>
      <c r="S5" s="24"/>
    </row>
    <row r="6">
      <c r="B6" s="20" t="s">
        <v>50</v>
      </c>
      <c r="C6" s="22">
        <v>1.0</v>
      </c>
      <c r="D6" s="24">
        <v>10290.0</v>
      </c>
      <c r="E6" s="36"/>
      <c r="F6" s="36"/>
      <c r="G6" s="37"/>
      <c r="H6" s="36"/>
      <c r="I6" s="36"/>
      <c r="J6" s="37"/>
      <c r="K6" s="36"/>
      <c r="L6" s="36"/>
      <c r="M6" s="37"/>
      <c r="N6" s="36"/>
      <c r="O6" s="36"/>
      <c r="P6" s="37"/>
      <c r="Q6" s="36"/>
      <c r="R6" s="36"/>
      <c r="S6" s="37"/>
    </row>
    <row r="7">
      <c r="B7" s="20" t="s">
        <v>55</v>
      </c>
      <c r="C7" s="22">
        <v>1.0</v>
      </c>
      <c r="D7" s="24">
        <v>10290.0</v>
      </c>
      <c r="E7" s="36"/>
      <c r="F7" s="36"/>
      <c r="G7" s="37"/>
      <c r="H7" s="36"/>
      <c r="I7" s="36"/>
      <c r="J7" s="37"/>
      <c r="K7" s="36"/>
      <c r="L7" s="36"/>
      <c r="M7" s="37"/>
      <c r="N7" s="36"/>
      <c r="O7" s="36"/>
      <c r="P7" s="37"/>
      <c r="Q7" s="36"/>
      <c r="R7" s="36"/>
      <c r="S7" s="37"/>
    </row>
    <row r="8">
      <c r="B8" s="20" t="s">
        <v>57</v>
      </c>
      <c r="C8" s="22" t="s">
        <v>58</v>
      </c>
      <c r="D8" s="24">
        <v>5190.0</v>
      </c>
      <c r="E8" s="36"/>
      <c r="F8" s="36"/>
      <c r="G8" s="37"/>
      <c r="H8" s="36"/>
      <c r="I8" s="36"/>
      <c r="J8" s="37"/>
      <c r="K8" s="36"/>
      <c r="L8" s="36"/>
      <c r="M8" s="37"/>
      <c r="N8" s="36"/>
      <c r="O8" s="36"/>
      <c r="P8" s="37"/>
      <c r="Q8" s="36"/>
      <c r="R8" s="36"/>
      <c r="S8" s="37"/>
    </row>
    <row r="9">
      <c r="B9" s="20" t="s">
        <v>60</v>
      </c>
      <c r="C9" s="22" t="s">
        <v>58</v>
      </c>
      <c r="D9" s="24">
        <v>5140.0</v>
      </c>
      <c r="E9" s="36"/>
      <c r="F9" s="36"/>
      <c r="G9" s="37"/>
      <c r="H9" s="36"/>
      <c r="I9" s="36"/>
      <c r="J9" s="37"/>
      <c r="K9" s="36"/>
      <c r="L9" s="36"/>
      <c r="M9" s="37"/>
      <c r="N9" s="36"/>
      <c r="O9" s="36"/>
      <c r="P9" s="37"/>
      <c r="Q9" s="36"/>
      <c r="R9" s="36"/>
      <c r="S9" s="37"/>
    </row>
    <row r="10">
      <c r="B10" s="20" t="s">
        <v>63</v>
      </c>
      <c r="C10" s="22" t="s">
        <v>58</v>
      </c>
      <c r="D10" s="24">
        <v>5190.0</v>
      </c>
      <c r="E10" s="36"/>
      <c r="F10" s="36"/>
      <c r="G10" s="37"/>
      <c r="H10" s="36"/>
      <c r="I10" s="36"/>
      <c r="J10" s="37"/>
      <c r="K10" s="36"/>
      <c r="L10" s="36"/>
      <c r="M10" s="37"/>
      <c r="N10" s="36"/>
      <c r="O10" s="36"/>
      <c r="P10" s="37"/>
      <c r="Q10" s="36"/>
      <c r="R10" s="36"/>
      <c r="S10" s="37"/>
    </row>
    <row r="11">
      <c r="B11" s="20" t="s">
        <v>66</v>
      </c>
      <c r="C11" s="22" t="s">
        <v>58</v>
      </c>
      <c r="D11" s="24">
        <v>5145.0</v>
      </c>
      <c r="E11" s="36"/>
      <c r="F11" s="36"/>
      <c r="G11" s="37"/>
      <c r="H11" s="36"/>
      <c r="I11" s="36"/>
      <c r="J11" s="37"/>
      <c r="K11" s="36"/>
      <c r="L11" s="36"/>
      <c r="M11" s="37"/>
      <c r="N11" s="36"/>
      <c r="O11" s="36"/>
      <c r="P11" s="37"/>
      <c r="Q11" s="36"/>
      <c r="R11" s="36"/>
      <c r="S11" s="37"/>
    </row>
    <row r="12">
      <c r="B12" s="20" t="s">
        <v>68</v>
      </c>
      <c r="C12" s="22" t="s">
        <v>58</v>
      </c>
      <c r="D12" s="24">
        <v>5145.0</v>
      </c>
      <c r="E12" s="36"/>
      <c r="F12" s="36"/>
      <c r="G12" s="37"/>
      <c r="H12" s="36"/>
      <c r="I12" s="36"/>
      <c r="J12" s="37"/>
      <c r="K12" s="36"/>
      <c r="L12" s="36"/>
      <c r="M12" s="37"/>
      <c r="N12" s="36"/>
      <c r="O12" s="36"/>
      <c r="P12" s="37"/>
      <c r="Q12" s="36"/>
      <c r="R12" s="36"/>
      <c r="S12" s="37"/>
    </row>
    <row r="13">
      <c r="B13" s="20" t="s">
        <v>70</v>
      </c>
      <c r="C13" s="22" t="s">
        <v>71</v>
      </c>
      <c r="D13" s="24">
        <v>2572.0</v>
      </c>
      <c r="E13" s="36"/>
      <c r="F13" s="36"/>
      <c r="G13" s="37"/>
      <c r="H13" s="36"/>
      <c r="I13" s="36"/>
      <c r="J13" s="37"/>
      <c r="K13" s="36"/>
      <c r="L13" s="36"/>
      <c r="M13" s="37"/>
      <c r="N13" s="36"/>
      <c r="O13" s="36"/>
      <c r="P13" s="37"/>
      <c r="Q13" s="36"/>
      <c r="R13" s="36"/>
      <c r="S13" s="37"/>
    </row>
    <row r="14">
      <c r="B14" s="20" t="s">
        <v>75</v>
      </c>
      <c r="C14" s="22" t="s">
        <v>71</v>
      </c>
      <c r="D14" s="24">
        <v>2550.0</v>
      </c>
      <c r="E14" s="36"/>
      <c r="F14" s="36"/>
      <c r="G14" s="37"/>
      <c r="H14" s="36"/>
      <c r="I14" s="36"/>
      <c r="J14" s="37"/>
      <c r="K14" s="36"/>
      <c r="L14" s="36"/>
      <c r="M14" s="37"/>
      <c r="N14" s="36"/>
      <c r="O14" s="36"/>
      <c r="P14" s="37"/>
      <c r="Q14" s="36"/>
      <c r="R14" s="36"/>
      <c r="S14" s="37"/>
    </row>
    <row r="15">
      <c r="B15" s="54"/>
      <c r="C15" s="36"/>
      <c r="D15" s="37"/>
      <c r="E15" s="36"/>
      <c r="F15" s="36"/>
      <c r="G15" s="37"/>
      <c r="H15" s="36"/>
      <c r="I15" s="36"/>
      <c r="J15" s="37"/>
      <c r="K15" s="36"/>
      <c r="L15" s="36"/>
      <c r="M15" s="37"/>
      <c r="N15" s="36"/>
      <c r="O15" s="36"/>
      <c r="P15" s="37"/>
      <c r="Q15" s="36"/>
      <c r="R15" s="36"/>
      <c r="S15" s="37"/>
    </row>
    <row r="16">
      <c r="B16" s="54"/>
      <c r="C16" s="36"/>
      <c r="D16" s="37"/>
      <c r="E16" s="36"/>
      <c r="F16" s="36"/>
      <c r="G16" s="37"/>
      <c r="H16" s="36"/>
      <c r="I16" s="36"/>
      <c r="J16" s="37"/>
      <c r="K16" s="36"/>
      <c r="L16" s="36"/>
      <c r="M16" s="37"/>
      <c r="N16" s="36"/>
      <c r="O16" s="36"/>
      <c r="P16" s="37"/>
      <c r="Q16" s="36"/>
      <c r="R16" s="36"/>
      <c r="S16" s="37"/>
    </row>
    <row r="17">
      <c r="B17" s="54"/>
      <c r="C17" s="36"/>
      <c r="D17" s="37"/>
      <c r="E17" s="36"/>
      <c r="F17" s="36"/>
      <c r="G17" s="37"/>
      <c r="H17" s="36"/>
      <c r="I17" s="36"/>
      <c r="J17" s="37"/>
      <c r="K17" s="36"/>
      <c r="L17" s="36"/>
      <c r="M17" s="37"/>
      <c r="N17" s="36"/>
      <c r="O17" s="36"/>
      <c r="P17" s="37"/>
      <c r="Q17" s="36"/>
      <c r="R17" s="36"/>
      <c r="S17" s="37"/>
    </row>
    <row r="18">
      <c r="B18" s="54"/>
      <c r="C18" s="36"/>
      <c r="D18" s="37"/>
      <c r="E18" s="36"/>
      <c r="F18" s="36"/>
      <c r="G18" s="37"/>
      <c r="H18" s="36"/>
      <c r="I18" s="36"/>
      <c r="J18" s="37"/>
      <c r="K18" s="36"/>
      <c r="L18" s="36"/>
      <c r="M18" s="37"/>
      <c r="N18" s="36"/>
      <c r="O18" s="36"/>
      <c r="P18" s="37"/>
      <c r="Q18" s="36"/>
      <c r="R18" s="36"/>
      <c r="S18" s="37"/>
    </row>
    <row r="19">
      <c r="B19" s="54"/>
      <c r="C19" s="36"/>
      <c r="D19" s="37"/>
      <c r="E19" s="36"/>
      <c r="F19" s="36"/>
      <c r="G19" s="37"/>
      <c r="H19" s="36"/>
      <c r="I19" s="36"/>
      <c r="J19" s="37"/>
      <c r="K19" s="36"/>
      <c r="L19" s="36"/>
      <c r="M19" s="37"/>
      <c r="N19" s="36"/>
      <c r="O19" s="36"/>
      <c r="P19" s="37"/>
      <c r="Q19" s="36"/>
      <c r="R19" s="36"/>
      <c r="S19" s="37"/>
    </row>
    <row r="20">
      <c r="B20" s="54"/>
      <c r="C20" s="36"/>
      <c r="D20" s="37"/>
      <c r="E20" s="36"/>
      <c r="F20" s="36"/>
      <c r="G20" s="37"/>
      <c r="H20" s="36"/>
      <c r="I20" s="36"/>
      <c r="J20" s="37"/>
      <c r="K20" s="36"/>
      <c r="L20" s="36"/>
      <c r="M20" s="37"/>
      <c r="N20" s="36"/>
      <c r="O20" s="36"/>
      <c r="P20" s="37"/>
      <c r="Q20" s="36"/>
      <c r="R20" s="36"/>
      <c r="S20" s="37"/>
    </row>
    <row r="21">
      <c r="B21" s="62"/>
      <c r="D21" s="1"/>
      <c r="G21" s="1"/>
      <c r="J21" s="1"/>
      <c r="M21" s="1"/>
      <c r="P21" s="1"/>
      <c r="S21" s="1"/>
    </row>
    <row r="22">
      <c r="B22" s="62"/>
      <c r="D22" s="1"/>
      <c r="G22" s="1"/>
      <c r="J22" s="1"/>
      <c r="M22" s="1"/>
      <c r="P22" s="1"/>
      <c r="S22" s="1"/>
    </row>
    <row r="23">
      <c r="B23" s="62"/>
      <c r="D23" s="1"/>
      <c r="G23" s="1"/>
      <c r="J23" s="1"/>
      <c r="M23" s="1"/>
      <c r="P23" s="1"/>
      <c r="S23" s="1"/>
    </row>
    <row r="24">
      <c r="B24" s="62"/>
      <c r="D24" s="1"/>
      <c r="G24" s="1"/>
      <c r="J24" s="1"/>
      <c r="M24" s="1"/>
      <c r="P24" s="1"/>
      <c r="S24" s="1"/>
    </row>
    <row r="25">
      <c r="B25" s="62"/>
      <c r="D25" s="1"/>
      <c r="G25" s="1"/>
      <c r="J25" s="1"/>
      <c r="M25" s="1"/>
      <c r="P25" s="1"/>
      <c r="S25" s="1"/>
    </row>
    <row r="26">
      <c r="B26" s="62"/>
      <c r="D26" s="1"/>
      <c r="G26" s="1"/>
      <c r="J26" s="1"/>
      <c r="M26" s="1"/>
      <c r="P26" s="1"/>
      <c r="S26" s="1"/>
    </row>
    <row r="27">
      <c r="B27" s="62"/>
      <c r="D27" s="1"/>
      <c r="G27" s="1"/>
      <c r="J27" s="1"/>
      <c r="M27" s="1"/>
      <c r="P27" s="1"/>
      <c r="S27" s="1"/>
    </row>
    <row r="28">
      <c r="B28" s="62"/>
      <c r="D28" s="1"/>
      <c r="G28" s="1"/>
      <c r="J28" s="1"/>
      <c r="M28" s="1"/>
      <c r="P28" s="1"/>
      <c r="S28" s="1"/>
    </row>
    <row r="29">
      <c r="B29" s="62"/>
      <c r="D29" s="1"/>
      <c r="G29" s="1"/>
      <c r="J29" s="1"/>
      <c r="M29" s="1"/>
      <c r="S29" s="1"/>
    </row>
    <row r="30">
      <c r="A30" s="2" t="s">
        <v>86</v>
      </c>
      <c r="D30" s="67">
        <f>SUM(D3:D28)</f>
        <v>82382</v>
      </c>
      <c r="G30" s="1"/>
      <c r="M30" s="1"/>
      <c r="S30" s="1"/>
    </row>
    <row r="31">
      <c r="S31" s="1"/>
    </row>
    <row r="32">
      <c r="S32" s="1"/>
    </row>
  </sheetData>
  <mergeCells count="6">
    <mergeCell ref="B1:D1"/>
    <mergeCell ref="E1:G1"/>
    <mergeCell ref="H1:J1"/>
    <mergeCell ref="K1:M1"/>
    <mergeCell ref="N1:P1"/>
    <mergeCell ref="Q1:S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8.88"/>
    <col customWidth="1" min="3" max="3" width="25.13"/>
    <col customWidth="1" min="4" max="4" width="22.63"/>
    <col customWidth="1" min="5" max="5" width="12.63"/>
    <col customWidth="1" min="6" max="6" width="15.13"/>
    <col customWidth="1" min="7" max="7" width="14.13"/>
    <col customWidth="1" min="8" max="8" width="31.38"/>
  </cols>
  <sheetData>
    <row r="1" ht="22.5" customHeight="1"/>
    <row r="2">
      <c r="B2" s="27" t="s">
        <v>23</v>
      </c>
    </row>
    <row r="5" ht="22.5" customHeight="1">
      <c r="B5" s="29" t="s">
        <v>24</v>
      </c>
      <c r="C5" s="29" t="s">
        <v>27</v>
      </c>
      <c r="D5" s="29" t="s">
        <v>29</v>
      </c>
      <c r="E5" s="29" t="s">
        <v>35</v>
      </c>
      <c r="F5" s="29" t="s">
        <v>40</v>
      </c>
      <c r="G5" s="29" t="s">
        <v>45</v>
      </c>
      <c r="H5" s="29" t="s">
        <v>48</v>
      </c>
    </row>
    <row r="6" ht="22.5" customHeight="1">
      <c r="B6" s="38" t="s">
        <v>51</v>
      </c>
      <c r="C6" s="40" t="s">
        <v>52</v>
      </c>
      <c r="D6" s="44" t="s">
        <v>54</v>
      </c>
      <c r="E6" s="46"/>
      <c r="F6" s="47">
        <v>55.0</v>
      </c>
      <c r="G6" s="40">
        <v>5209.0</v>
      </c>
      <c r="H6" s="40"/>
    </row>
    <row r="7" ht="22.5" customHeight="1">
      <c r="B7" s="38" t="s">
        <v>69</v>
      </c>
      <c r="C7" s="40" t="s">
        <v>73</v>
      </c>
      <c r="D7" s="46"/>
      <c r="E7" s="46"/>
      <c r="F7" s="52"/>
      <c r="G7" s="40" t="s">
        <v>76</v>
      </c>
      <c r="H7" s="46"/>
    </row>
    <row r="8" ht="22.5" customHeight="1">
      <c r="B8" s="56"/>
      <c r="C8" s="46"/>
      <c r="D8" s="46"/>
      <c r="E8" s="46"/>
      <c r="F8" s="52"/>
      <c r="G8" s="57"/>
      <c r="H8" s="46"/>
    </row>
    <row r="9" ht="22.5" customHeight="1">
      <c r="B9" s="56"/>
      <c r="C9" s="46"/>
      <c r="D9" s="46"/>
      <c r="E9" s="46"/>
      <c r="F9" s="52"/>
      <c r="G9" s="57"/>
      <c r="H9" s="46"/>
    </row>
    <row r="10" ht="22.5" customHeight="1">
      <c r="B10" s="56"/>
      <c r="C10" s="46"/>
      <c r="D10" s="46"/>
      <c r="E10" s="46"/>
      <c r="F10" s="52"/>
      <c r="G10" s="57"/>
      <c r="H10" s="46"/>
    </row>
    <row r="11" ht="22.5" customHeight="1">
      <c r="B11" s="56"/>
      <c r="C11" s="46"/>
      <c r="D11" s="46"/>
      <c r="E11" s="46"/>
      <c r="F11" s="52"/>
      <c r="G11" s="57"/>
      <c r="H11" s="46"/>
    </row>
  </sheetData>
  <dataValidations>
    <dataValidation type="list" allowBlank="1" showErrorMessage="1" sqref="B6:B11">
      <formula1>"Упаковка,Инвентарь,Логистика,Прочее"</formula1>
    </dataValidation>
    <dataValidation type="custom" allowBlank="1" showDropDown="1" sqref="G6:G11">
      <formula1>OR(NOT(ISERROR(DATEVALUE(G6))), AND(ISNUMBER(G6), LEFT(CELL("format", G6))="D"))</formula1>
    </dataValidation>
    <dataValidation type="custom" allowBlank="1" showDropDown="1" sqref="F6:F11">
      <formula1>AND(ISNUMBER(F6),(NOT(OR(NOT(ISERROR(DATEVALUE(F6))), AND(ISNUMBER(F6), LEFT(CELL("format", F6))="D")))))</formula1>
    </dataValidation>
  </dataValidations>
  <hyperlinks>
    <hyperlink r:id="rId1" ref="D6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2.63"/>
    <col customWidth="1" min="3" max="3" width="18.88"/>
    <col customWidth="1" min="4" max="4" width="31.38"/>
    <col customWidth="1" min="5" max="5" width="15.13"/>
    <col customWidth="1" min="6" max="6" width="31.38"/>
  </cols>
  <sheetData>
    <row r="1">
      <c r="A1" s="68" t="s">
        <v>87</v>
      </c>
    </row>
    <row r="3">
      <c r="A3" s="69" t="s">
        <v>88</v>
      </c>
      <c r="B3" s="69" t="s">
        <v>24</v>
      </c>
      <c r="C3" s="69" t="s">
        <v>89</v>
      </c>
      <c r="D3" s="69" t="s">
        <v>90</v>
      </c>
      <c r="E3" s="69" t="s">
        <v>91</v>
      </c>
    </row>
    <row r="4">
      <c r="A4" s="70">
        <v>26.07</v>
      </c>
      <c r="B4" s="70" t="s">
        <v>92</v>
      </c>
      <c r="C4" s="70" t="s">
        <v>93</v>
      </c>
      <c r="D4" s="71">
        <v>71400.0</v>
      </c>
      <c r="E4" s="72"/>
    </row>
    <row r="5">
      <c r="A5" s="70">
        <v>26.07</v>
      </c>
      <c r="B5" s="70" t="s">
        <v>94</v>
      </c>
      <c r="C5" s="70" t="s">
        <v>95</v>
      </c>
      <c r="D5" s="71">
        <v>787.0</v>
      </c>
      <c r="E5" s="72"/>
    </row>
    <row r="6">
      <c r="A6" s="70">
        <v>26.07</v>
      </c>
      <c r="B6" s="70" t="s">
        <v>94</v>
      </c>
      <c r="C6" s="70" t="s">
        <v>96</v>
      </c>
      <c r="D6" s="71">
        <v>187.0</v>
      </c>
      <c r="E6" s="72"/>
    </row>
    <row r="7">
      <c r="A7" s="70">
        <v>29.07</v>
      </c>
      <c r="B7" s="72"/>
      <c r="C7" s="70" t="s">
        <v>97</v>
      </c>
      <c r="D7" s="71">
        <v>199.0</v>
      </c>
      <c r="E7" s="72"/>
    </row>
    <row r="8">
      <c r="A8" s="73"/>
      <c r="B8" s="72"/>
      <c r="C8" s="72"/>
      <c r="D8" s="74"/>
      <c r="E8" s="72"/>
    </row>
    <row r="9">
      <c r="A9" s="73"/>
      <c r="B9" s="72"/>
      <c r="C9" s="72"/>
      <c r="D9" s="74"/>
      <c r="E9" s="72"/>
    </row>
    <row r="10">
      <c r="A10" s="73"/>
      <c r="B10" s="72"/>
      <c r="C10" s="72"/>
      <c r="D10" s="74"/>
      <c r="E10" s="72"/>
    </row>
    <row r="11">
      <c r="A11" s="73"/>
      <c r="B11" s="72"/>
      <c r="C11" s="72"/>
      <c r="D11" s="74"/>
      <c r="E11" s="72"/>
    </row>
    <row r="12">
      <c r="A12" s="73"/>
      <c r="B12" s="72"/>
      <c r="C12" s="72"/>
      <c r="D12" s="74"/>
      <c r="E12" s="72"/>
    </row>
    <row r="13">
      <c r="A13" s="73"/>
      <c r="B13" s="72"/>
      <c r="C13" s="72"/>
      <c r="D13" s="74"/>
      <c r="E13" s="72"/>
    </row>
    <row r="14">
      <c r="A14" s="73"/>
      <c r="B14" s="72"/>
      <c r="C14" s="72"/>
      <c r="D14" s="74"/>
      <c r="E14" s="72"/>
    </row>
    <row r="15">
      <c r="A15" s="73"/>
      <c r="B15" s="72"/>
      <c r="C15" s="72"/>
      <c r="D15" s="74"/>
      <c r="E15" s="72"/>
    </row>
    <row r="16">
      <c r="A16" s="73"/>
      <c r="B16" s="72"/>
      <c r="C16" s="72"/>
      <c r="D16" s="74"/>
      <c r="E16" s="72"/>
    </row>
    <row r="17">
      <c r="A17" s="73"/>
      <c r="B17" s="72"/>
      <c r="C17" s="72"/>
      <c r="D17" s="74"/>
      <c r="E17" s="72"/>
    </row>
    <row r="18">
      <c r="A18" s="73"/>
      <c r="B18" s="72"/>
      <c r="C18" s="72"/>
      <c r="D18" s="74"/>
      <c r="E18" s="72"/>
    </row>
    <row r="19">
      <c r="A19" s="73"/>
      <c r="B19" s="72"/>
      <c r="C19" s="72"/>
      <c r="D19" s="74"/>
      <c r="E19" s="72"/>
    </row>
    <row r="20">
      <c r="A20" s="73"/>
      <c r="B20" s="72"/>
      <c r="C20" s="72"/>
      <c r="D20" s="74"/>
      <c r="E20" s="72"/>
    </row>
    <row r="21">
      <c r="A21" s="73"/>
      <c r="B21" s="72"/>
      <c r="C21" s="72"/>
      <c r="D21" s="74"/>
      <c r="E21" s="72"/>
    </row>
    <row r="22">
      <c r="A22" s="73"/>
      <c r="B22" s="72"/>
      <c r="C22" s="72"/>
      <c r="D22" s="74"/>
      <c r="E22" s="72"/>
    </row>
    <row r="23">
      <c r="A23" s="73"/>
      <c r="B23" s="72"/>
      <c r="C23" s="72"/>
      <c r="D23" s="74"/>
      <c r="E23" s="72"/>
    </row>
    <row r="24">
      <c r="A24" s="73"/>
      <c r="B24" s="72"/>
      <c r="C24" s="72"/>
      <c r="D24" s="74"/>
      <c r="E24" s="72"/>
    </row>
    <row r="25">
      <c r="A25" s="73"/>
      <c r="B25" s="72"/>
      <c r="C25" s="72"/>
      <c r="D25" s="74"/>
      <c r="E25" s="72"/>
    </row>
    <row r="26">
      <c r="A26" s="73"/>
      <c r="B26" s="72"/>
      <c r="C26" s="72"/>
      <c r="D26" s="74"/>
      <c r="E26" s="72"/>
    </row>
    <row r="27">
      <c r="A27" s="73"/>
      <c r="B27" s="72"/>
      <c r="C27" s="72"/>
      <c r="D27" s="74"/>
      <c r="E27" s="72"/>
    </row>
    <row r="28">
      <c r="A28" s="73"/>
      <c r="B28" s="72"/>
      <c r="C28" s="72"/>
      <c r="D28" s="74"/>
      <c r="E28" s="72"/>
    </row>
    <row r="29">
      <c r="A29" s="73"/>
      <c r="B29" s="72"/>
      <c r="C29" s="72"/>
      <c r="D29" s="74"/>
      <c r="E29" s="72"/>
    </row>
    <row r="30">
      <c r="A30" s="73"/>
      <c r="B30" s="72"/>
      <c r="C30" s="72"/>
      <c r="D30" s="74"/>
      <c r="E30" s="72"/>
    </row>
    <row r="31">
      <c r="A31" s="73"/>
      <c r="B31" s="72"/>
      <c r="C31" s="72"/>
      <c r="D31" s="74"/>
      <c r="E31" s="72"/>
    </row>
    <row r="32">
      <c r="A32" s="73"/>
      <c r="B32" s="72"/>
      <c r="C32" s="72"/>
      <c r="D32" s="74"/>
      <c r="E32" s="72"/>
    </row>
    <row r="33">
      <c r="A33" s="73"/>
      <c r="B33" s="72"/>
      <c r="C33" s="72"/>
      <c r="D33" s="74"/>
      <c r="E33" s="72"/>
    </row>
    <row r="34">
      <c r="A34" s="73"/>
      <c r="B34" s="72"/>
      <c r="C34" s="72"/>
      <c r="D34" s="74"/>
      <c r="E34" s="72"/>
    </row>
    <row r="35">
      <c r="A35" s="73"/>
      <c r="B35" s="72"/>
      <c r="C35" s="72"/>
      <c r="D35" s="74"/>
      <c r="E35" s="72"/>
    </row>
    <row r="36">
      <c r="A36" s="73"/>
      <c r="B36" s="72"/>
      <c r="C36" s="72"/>
      <c r="D36" s="74"/>
      <c r="E36" s="72"/>
    </row>
    <row r="37">
      <c r="A37" s="73"/>
      <c r="B37" s="72"/>
      <c r="C37" s="72"/>
      <c r="D37" s="74"/>
      <c r="E37" s="72"/>
    </row>
    <row r="38">
      <c r="A38" s="73"/>
      <c r="B38" s="72"/>
      <c r="C38" s="72"/>
      <c r="D38" s="74"/>
      <c r="E38" s="72"/>
    </row>
    <row r="39">
      <c r="A39" s="73"/>
      <c r="B39" s="72"/>
      <c r="C39" s="72"/>
      <c r="D39" s="74"/>
      <c r="E39" s="72"/>
    </row>
    <row r="40">
      <c r="A40" s="73"/>
      <c r="B40" s="72"/>
      <c r="C40" s="72"/>
      <c r="D40" s="74"/>
      <c r="E40" s="72"/>
    </row>
    <row r="41">
      <c r="A41" s="73"/>
      <c r="B41" s="72"/>
      <c r="C41" s="72"/>
      <c r="D41" s="74"/>
      <c r="E41" s="72"/>
    </row>
    <row r="42">
      <c r="A42" s="73"/>
      <c r="B42" s="72"/>
      <c r="C42" s="72"/>
      <c r="D42" s="74"/>
      <c r="E42" s="72"/>
    </row>
    <row r="43">
      <c r="A43" s="73"/>
      <c r="B43" s="72"/>
      <c r="C43" s="72"/>
      <c r="D43" s="74"/>
      <c r="E43" s="72"/>
    </row>
    <row r="44">
      <c r="A44" s="73"/>
      <c r="B44" s="72"/>
      <c r="C44" s="72"/>
      <c r="D44" s="74"/>
      <c r="E44" s="72"/>
    </row>
    <row r="45">
      <c r="A45" s="73"/>
      <c r="B45" s="72"/>
      <c r="C45" s="72"/>
      <c r="D45" s="74"/>
      <c r="E45" s="72"/>
    </row>
    <row r="46">
      <c r="A46" s="73"/>
      <c r="B46" s="72"/>
      <c r="C46" s="72"/>
      <c r="D46" s="74"/>
      <c r="E46" s="72"/>
    </row>
    <row r="47">
      <c r="A47" s="73"/>
      <c r="B47" s="72"/>
      <c r="C47" s="72"/>
      <c r="D47" s="74"/>
      <c r="E47" s="72"/>
    </row>
    <row r="48">
      <c r="A48" s="73"/>
      <c r="B48" s="72"/>
      <c r="C48" s="72"/>
      <c r="D48" s="74"/>
      <c r="E48" s="72"/>
    </row>
    <row r="49">
      <c r="A49" s="73"/>
      <c r="B49" s="72"/>
      <c r="C49" s="72"/>
      <c r="D49" s="74"/>
      <c r="E49" s="72"/>
    </row>
    <row r="50">
      <c r="A50" s="73"/>
      <c r="B50" s="72"/>
      <c r="C50" s="72"/>
      <c r="D50" s="74"/>
      <c r="E50" s="72"/>
    </row>
    <row r="51">
      <c r="A51" s="73"/>
      <c r="B51" s="72"/>
      <c r="C51" s="72"/>
      <c r="D51" s="74"/>
      <c r="E51" s="72"/>
    </row>
    <row r="52">
      <c r="A52" s="73"/>
      <c r="B52" s="72"/>
      <c r="C52" s="72"/>
      <c r="D52" s="74"/>
      <c r="E52" s="72"/>
    </row>
    <row r="53">
      <c r="A53" s="73"/>
      <c r="B53" s="72"/>
      <c r="C53" s="72"/>
      <c r="D53" s="74"/>
      <c r="E53" s="72"/>
    </row>
    <row r="54">
      <c r="A54" s="73"/>
      <c r="B54" s="72"/>
      <c r="C54" s="72"/>
      <c r="D54" s="74"/>
      <c r="E54" s="72"/>
    </row>
    <row r="55">
      <c r="A55" s="73"/>
      <c r="B55" s="72"/>
      <c r="C55" s="72"/>
      <c r="D55" s="74"/>
      <c r="E55" s="72"/>
    </row>
    <row r="56">
      <c r="A56" s="73"/>
      <c r="B56" s="72"/>
      <c r="C56" s="72"/>
      <c r="D56" s="74"/>
      <c r="E56" s="72"/>
    </row>
    <row r="57">
      <c r="A57" s="73"/>
      <c r="B57" s="72"/>
      <c r="C57" s="72"/>
      <c r="D57" s="74"/>
      <c r="E57" s="72"/>
    </row>
    <row r="58">
      <c r="A58" s="73"/>
      <c r="B58" s="72"/>
      <c r="C58" s="72"/>
      <c r="D58" s="74"/>
      <c r="E58" s="72"/>
    </row>
    <row r="59">
      <c r="A59" s="73"/>
      <c r="B59" s="72"/>
      <c r="C59" s="72"/>
      <c r="D59" s="74"/>
      <c r="E59" s="72"/>
    </row>
    <row r="60">
      <c r="A60" s="73"/>
      <c r="B60" s="72"/>
      <c r="C60" s="72"/>
      <c r="D60" s="74"/>
      <c r="E60" s="72"/>
    </row>
    <row r="61">
      <c r="A61" s="73"/>
      <c r="B61" s="72"/>
      <c r="C61" s="72"/>
      <c r="D61" s="74"/>
      <c r="E61" s="72"/>
    </row>
    <row r="62">
      <c r="A62" s="73"/>
      <c r="B62" s="72"/>
      <c r="C62" s="72"/>
      <c r="D62" s="74"/>
      <c r="E62" s="72"/>
    </row>
    <row r="63">
      <c r="A63" s="73"/>
      <c r="B63" s="72"/>
      <c r="C63" s="72"/>
      <c r="D63" s="74"/>
      <c r="E63" s="72"/>
    </row>
    <row r="64">
      <c r="A64" s="73"/>
      <c r="B64" s="72"/>
      <c r="C64" s="72"/>
      <c r="D64" s="74"/>
      <c r="E64" s="72"/>
    </row>
    <row r="65">
      <c r="A65" s="73"/>
      <c r="B65" s="72"/>
      <c r="C65" s="72"/>
      <c r="D65" s="74"/>
      <c r="E65" s="72"/>
    </row>
    <row r="66">
      <c r="A66" s="73"/>
      <c r="B66" s="72"/>
      <c r="C66" s="72"/>
      <c r="D66" s="74"/>
      <c r="E66" s="72"/>
    </row>
    <row r="67">
      <c r="A67" s="73"/>
      <c r="B67" s="72"/>
      <c r="C67" s="72"/>
      <c r="D67" s="74"/>
      <c r="E67" s="72"/>
    </row>
    <row r="68">
      <c r="A68" s="73"/>
      <c r="B68" s="72"/>
      <c r="C68" s="72"/>
      <c r="D68" s="74"/>
      <c r="E68" s="72"/>
    </row>
    <row r="69">
      <c r="A69" s="73"/>
      <c r="B69" s="72"/>
      <c r="C69" s="72"/>
      <c r="D69" s="74"/>
      <c r="E69" s="72"/>
    </row>
    <row r="70">
      <c r="A70" s="73"/>
      <c r="B70" s="72"/>
      <c r="C70" s="72"/>
      <c r="D70" s="74"/>
      <c r="E70" s="72"/>
    </row>
    <row r="71">
      <c r="A71" s="73"/>
      <c r="B71" s="72"/>
      <c r="C71" s="72"/>
      <c r="D71" s="74"/>
      <c r="E71" s="72"/>
    </row>
    <row r="72">
      <c r="A72" s="73"/>
      <c r="B72" s="72"/>
      <c r="C72" s="72"/>
      <c r="D72" s="74"/>
      <c r="E72" s="72"/>
    </row>
    <row r="73">
      <c r="A73" s="73"/>
      <c r="B73" s="72"/>
      <c r="C73" s="72"/>
      <c r="D73" s="74"/>
      <c r="E73" s="72"/>
    </row>
    <row r="74">
      <c r="A74" s="73"/>
      <c r="B74" s="72"/>
      <c r="C74" s="72"/>
      <c r="D74" s="74"/>
      <c r="E74" s="72"/>
    </row>
    <row r="75">
      <c r="A75" s="73"/>
      <c r="B75" s="72"/>
      <c r="C75" s="72"/>
      <c r="D75" s="74"/>
      <c r="E75" s="72"/>
    </row>
    <row r="76">
      <c r="A76" s="73"/>
      <c r="B76" s="72"/>
      <c r="C76" s="72"/>
      <c r="D76" s="74"/>
      <c r="E76" s="72"/>
    </row>
    <row r="77">
      <c r="A77" s="73"/>
      <c r="B77" s="72"/>
      <c r="C77" s="72"/>
      <c r="D77" s="74"/>
      <c r="E77" s="72"/>
    </row>
    <row r="78">
      <c r="A78" s="73"/>
      <c r="B78" s="72"/>
      <c r="C78" s="72"/>
      <c r="D78" s="74"/>
      <c r="E78" s="72"/>
    </row>
    <row r="79">
      <c r="A79" s="73"/>
      <c r="B79" s="72"/>
      <c r="C79" s="72"/>
      <c r="D79" s="74"/>
      <c r="E79" s="72"/>
    </row>
    <row r="80">
      <c r="A80" s="73"/>
      <c r="B80" s="72"/>
      <c r="C80" s="72"/>
      <c r="D80" s="74"/>
      <c r="E80" s="72"/>
    </row>
    <row r="81">
      <c r="A81" s="73"/>
      <c r="B81" s="72"/>
      <c r="C81" s="72"/>
      <c r="D81" s="74"/>
      <c r="E81" s="72"/>
    </row>
    <row r="82">
      <c r="A82" s="73"/>
      <c r="B82" s="72"/>
      <c r="C82" s="72"/>
      <c r="D82" s="74"/>
      <c r="E82" s="72"/>
    </row>
    <row r="83">
      <c r="A83" s="73"/>
      <c r="B83" s="72"/>
      <c r="C83" s="72"/>
      <c r="D83" s="74"/>
      <c r="E83" s="72"/>
    </row>
    <row r="84">
      <c r="A84" s="73"/>
      <c r="B84" s="72"/>
      <c r="C84" s="72"/>
      <c r="D84" s="74"/>
      <c r="E84" s="72"/>
    </row>
    <row r="85">
      <c r="A85" s="73"/>
      <c r="B85" s="72"/>
      <c r="C85" s="72"/>
      <c r="D85" s="74"/>
      <c r="E85" s="72"/>
    </row>
    <row r="86">
      <c r="A86" s="73"/>
      <c r="B86" s="72"/>
      <c r="C86" s="72"/>
      <c r="D86" s="74"/>
      <c r="E86" s="72"/>
    </row>
    <row r="87">
      <c r="A87" s="73"/>
      <c r="B87" s="72"/>
      <c r="C87" s="72"/>
      <c r="D87" s="74"/>
      <c r="E87" s="72"/>
    </row>
    <row r="88">
      <c r="A88" s="73"/>
      <c r="B88" s="72"/>
      <c r="C88" s="72"/>
      <c r="D88" s="74"/>
      <c r="E88" s="72"/>
    </row>
    <row r="89">
      <c r="A89" s="73"/>
      <c r="B89" s="72"/>
      <c r="C89" s="72"/>
      <c r="D89" s="74"/>
      <c r="E89" s="72"/>
    </row>
    <row r="90">
      <c r="A90" s="73"/>
      <c r="B90" s="72"/>
      <c r="C90" s="72"/>
      <c r="D90" s="74"/>
      <c r="E90" s="72"/>
    </row>
    <row r="91">
      <c r="A91" s="73"/>
      <c r="B91" s="72"/>
      <c r="C91" s="72"/>
      <c r="D91" s="74"/>
      <c r="E91" s="72"/>
    </row>
    <row r="92">
      <c r="A92" s="73"/>
      <c r="B92" s="72"/>
      <c r="C92" s="72"/>
      <c r="D92" s="74"/>
      <c r="E92" s="72"/>
    </row>
    <row r="93">
      <c r="A93" s="73"/>
      <c r="B93" s="72"/>
      <c r="C93" s="72"/>
      <c r="D93" s="74"/>
      <c r="E93" s="72"/>
    </row>
    <row r="94">
      <c r="A94" s="73"/>
      <c r="B94" s="72"/>
      <c r="C94" s="72"/>
      <c r="D94" s="74"/>
      <c r="E94" s="72"/>
    </row>
    <row r="95">
      <c r="A95" s="73"/>
      <c r="B95" s="72"/>
      <c r="C95" s="72"/>
      <c r="D95" s="74"/>
      <c r="E95" s="72"/>
    </row>
    <row r="96">
      <c r="A96" s="73"/>
      <c r="B96" s="72"/>
      <c r="C96" s="72"/>
      <c r="D96" s="74"/>
      <c r="E96" s="72"/>
    </row>
    <row r="97">
      <c r="A97" s="73"/>
      <c r="B97" s="72"/>
      <c r="C97" s="72"/>
      <c r="D97" s="74"/>
      <c r="E97" s="72"/>
    </row>
    <row r="98">
      <c r="A98" s="73"/>
      <c r="B98" s="72"/>
      <c r="C98" s="72"/>
      <c r="D98" s="74"/>
      <c r="E98" s="72"/>
    </row>
    <row r="99">
      <c r="A99" s="73"/>
      <c r="B99" s="72"/>
      <c r="C99" s="72"/>
      <c r="D99" s="74"/>
      <c r="E99" s="72"/>
    </row>
  </sheetData>
  <drawing r:id="rId1"/>
</worksheet>
</file>